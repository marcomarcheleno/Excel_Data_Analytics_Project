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OneDrive\Documents\Coding\Excel\Excel_Data_Analytics_Course-main\2_Formulas_Functions\"/>
    </mc:Choice>
  </mc:AlternateContent>
  <xr:revisionPtr revIDLastSave="0" documentId="13_ncr:1_{6DF7B849-F4DB-454E-A65C-D2DD22383CF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AA2" i="8" a="1"/>
  <c r="AA2" i="8" s="1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" i="8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T21" i="8"/>
  <c r="U21" i="8"/>
  <c r="V21" i="8"/>
  <c r="V2" i="8"/>
  <c r="U2" i="8"/>
  <c r="T2" i="8"/>
  <c r="P2" i="8"/>
  <c r="R2" i="8" s="1"/>
  <c r="N2" i="8"/>
  <c r="N2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K3" i="8"/>
  <c r="L3" i="8"/>
  <c r="K4" i="8"/>
  <c r="L4" i="8"/>
  <c r="K5" i="8"/>
  <c r="L5" i="8"/>
  <c r="K6" i="8"/>
  <c r="L6" i="8"/>
  <c r="K7" i="8"/>
  <c r="L7" i="8"/>
  <c r="K8" i="8"/>
  <c r="L8" i="8"/>
  <c r="K9" i="8"/>
  <c r="L9" i="8"/>
  <c r="K10" i="8"/>
  <c r="L10" i="8"/>
  <c r="K11" i="8"/>
  <c r="L11" i="8"/>
  <c r="K12" i="8"/>
  <c r="L12" i="8"/>
  <c r="K13" i="8"/>
  <c r="L13" i="8"/>
  <c r="K14" i="8"/>
  <c r="L14" i="8"/>
  <c r="K15" i="8"/>
  <c r="L15" i="8"/>
  <c r="K16" i="8"/>
  <c r="L16" i="8"/>
  <c r="K17" i="8"/>
  <c r="L17" i="8"/>
  <c r="K18" i="8"/>
  <c r="L18" i="8"/>
  <c r="K19" i="8"/>
  <c r="L19" i="8"/>
  <c r="K20" i="8"/>
  <c r="L20" i="8"/>
  <c r="K21" i="8"/>
  <c r="L21" i="8"/>
  <c r="L2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9" i="8" l="1"/>
  <c r="R20" i="8"/>
  <c r="R7" i="8"/>
  <c r="R6" i="8"/>
  <c r="R5" i="8"/>
  <c r="R16" i="8"/>
  <c r="R4" i="8"/>
  <c r="R14" i="8"/>
  <c r="R13" i="8"/>
  <c r="R12" i="8"/>
  <c r="R11" i="8"/>
  <c r="R10" i="8"/>
  <c r="R21" i="8"/>
  <c r="R8" i="8"/>
  <c r="R19" i="8"/>
  <c r="R18" i="8"/>
  <c r="R17" i="8"/>
  <c r="R15" i="8"/>
  <c r="R3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<sst xmlns="http://schemas.openxmlformats.org/spreadsheetml/2006/main" count="471" uniqueCount="96">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</sst>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Job Posting Per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D-4576-916A-82DB0E887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136576"/>
        <c:axId val="89128416"/>
      </c:barChart>
      <c:catAx>
        <c:axId val="8913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8416"/>
        <c:crosses val="autoZero"/>
        <c:auto val="1"/>
        <c:lblAlgn val="ctr"/>
        <c:lblOffset val="100"/>
        <c:noMultiLvlLbl val="0"/>
      </c:catAx>
      <c:valAx>
        <c:axId val="8912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3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426720</xdr:colOff>
      <xdr:row>4</xdr:row>
      <xdr:rowOff>175260</xdr:rowOff>
    </xdr:from>
    <xdr:to>
      <xdr:col>36</xdr:col>
      <xdr:colOff>121920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24D703-C815-1BE9-F78B-5641EE45A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workbookViewId="0">
      <selection activeCell="AJ8" sqref="AJ8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hidden="1" customWidth="1"/>
    <col min="6" max="6" width="11" hidden="1" customWidth="1"/>
    <col min="7" max="7" width="22" hidden="1" customWidth="1"/>
    <col min="8" max="8" width="40" hidden="1" customWidth="1"/>
    <col min="10" max="13" width="8.88671875" hidden="1" customWidth="1"/>
    <col min="14" max="14" width="14.21875" hidden="1" customWidth="1"/>
    <col min="15" max="15" width="8.88671875" hidden="1" customWidth="1"/>
    <col min="16" max="16" width="10.5546875" hidden="1" customWidth="1"/>
    <col min="17" max="17" width="8.88671875" hidden="1" customWidth="1"/>
    <col min="18" max="18" width="16" hidden="1" customWidth="1"/>
    <col min="19" max="23" width="8.88671875" hidden="1" customWidth="1"/>
    <col min="24" max="25" width="14.33203125" hidden="1" customWidth="1"/>
    <col min="26" max="26" width="8.88671875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5" t="s">
        <v>90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DATE(L2,K2,J2)</f>
        <v>45324</v>
      </c>
      <c r="P2" s="9">
        <f ca="1">TODAY()</f>
        <v>46117</v>
      </c>
      <c r="R2">
        <f ca="1">DATEDIF(N2,$P$2,"D")</f>
        <v>793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Z2">
        <f>HOUR(D2)</f>
        <v>15</v>
      </c>
      <c r="AA2" cm="1">
        <f t="array" ref="AA2:AA25">_xlfn.SEQUENCE(24,,1,1)</f>
        <v>1</v>
      </c>
      <c r="AB2">
        <f>COUNTIF($Z$2:$Z$21,$AA2)</f>
        <v>0</v>
      </c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0" si="3">DATE(L3,K3,J3)</f>
        <v>45174</v>
      </c>
      <c r="R3">
        <f t="shared" ref="R3:R21" ca="1" si="4">DATEDIF(N3,$P$2,"D")</f>
        <v>943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 am/pm")</f>
        <v>09:45 AM</v>
      </c>
      <c r="Z3">
        <f t="shared" ref="Z3:Z21" si="10">HOUR(D3)</f>
        <v>9</v>
      </c>
      <c r="AA3">
        <v>2</v>
      </c>
      <c r="AB3">
        <f t="shared" ref="AB3:AB25" si="11">COUNTIF($Z$2:$Z$21,$AA3)</f>
        <v>0</v>
      </c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45542</v>
      </c>
      <c r="R4">
        <f t="shared" ca="1" si="4"/>
        <v>575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05:30 PM</v>
      </c>
      <c r="Z4">
        <f t="shared" si="10"/>
        <v>17</v>
      </c>
      <c r="AA4">
        <v>3</v>
      </c>
      <c r="AB4">
        <f t="shared" si="11"/>
        <v>0</v>
      </c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45025</v>
      </c>
      <c r="R5">
        <f t="shared" ca="1" si="4"/>
        <v>1092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Z5">
        <f t="shared" si="10"/>
        <v>7</v>
      </c>
      <c r="AA5">
        <v>4</v>
      </c>
      <c r="AB5">
        <f t="shared" si="11"/>
        <v>0</v>
      </c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45454</v>
      </c>
      <c r="R6">
        <f t="shared" ca="1" si="4"/>
        <v>663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Z6">
        <f t="shared" si="10"/>
        <v>17</v>
      </c>
      <c r="AA6">
        <v>5</v>
      </c>
      <c r="AB6">
        <f t="shared" si="11"/>
        <v>0</v>
      </c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45597</v>
      </c>
      <c r="R7">
        <f t="shared" ca="1" si="4"/>
        <v>520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 PM</v>
      </c>
      <c r="Z7">
        <f t="shared" si="10"/>
        <v>12</v>
      </c>
      <c r="AA7">
        <v>6</v>
      </c>
      <c r="AB7">
        <f t="shared" si="11"/>
        <v>1</v>
      </c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763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Z8">
        <f t="shared" si="10"/>
        <v>16</v>
      </c>
      <c r="AA8">
        <v>7</v>
      </c>
      <c r="AB8">
        <f t="shared" si="11"/>
        <v>3</v>
      </c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46057</v>
      </c>
      <c r="R9">
        <f t="shared" ca="1" si="4"/>
        <v>60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Z9">
        <f t="shared" si="10"/>
        <v>8</v>
      </c>
      <c r="AA9">
        <v>8</v>
      </c>
      <c r="AB9">
        <f t="shared" si="11"/>
        <v>1</v>
      </c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45722</v>
      </c>
      <c r="R10">
        <f t="shared" ca="1" si="4"/>
        <v>395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Z10">
        <f t="shared" si="10"/>
        <v>17</v>
      </c>
      <c r="AA10">
        <v>9</v>
      </c>
      <c r="AB10">
        <f t="shared" si="11"/>
        <v>1</v>
      </c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637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Z11">
        <f t="shared" si="10"/>
        <v>14</v>
      </c>
      <c r="AA11">
        <v>10</v>
      </c>
      <c r="AB11">
        <f t="shared" si="11"/>
        <v>1</v>
      </c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45632</v>
      </c>
      <c r="R12">
        <f t="shared" ca="1" si="4"/>
        <v>485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 AM</v>
      </c>
      <c r="Z12">
        <f t="shared" si="10"/>
        <v>6</v>
      </c>
      <c r="AA12">
        <v>11</v>
      </c>
      <c r="AB12">
        <f t="shared" si="11"/>
        <v>1</v>
      </c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45658</v>
      </c>
      <c r="R13">
        <f t="shared" ca="1" si="4"/>
        <v>459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Z13">
        <f t="shared" si="10"/>
        <v>13</v>
      </c>
      <c r="AA13">
        <v>12</v>
      </c>
      <c r="AB13">
        <f t="shared" si="11"/>
        <v>1</v>
      </c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45415</v>
      </c>
      <c r="R14">
        <f t="shared" ca="1" si="4"/>
        <v>702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 AM</v>
      </c>
      <c r="Z14">
        <f t="shared" si="10"/>
        <v>11</v>
      </c>
      <c r="AA14">
        <v>13</v>
      </c>
      <c r="AB14">
        <f t="shared" si="11"/>
        <v>1</v>
      </c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44932</v>
      </c>
      <c r="R15">
        <f t="shared" ca="1" si="4"/>
        <v>1185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Z15">
        <f t="shared" si="10"/>
        <v>10</v>
      </c>
      <c r="AA15">
        <v>14</v>
      </c>
      <c r="AB15">
        <f t="shared" si="11"/>
        <v>1</v>
      </c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45816</v>
      </c>
      <c r="R16">
        <f t="shared" ca="1" si="4"/>
        <v>301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05:30 PM</v>
      </c>
      <c r="Z16">
        <f t="shared" si="10"/>
        <v>17</v>
      </c>
      <c r="AA16">
        <v>15</v>
      </c>
      <c r="AB16">
        <f t="shared" si="11"/>
        <v>1</v>
      </c>
    </row>
    <row r="17" spans="1:2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45483</v>
      </c>
      <c r="R17">
        <f t="shared" ca="1" si="4"/>
        <v>634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Z17">
        <f t="shared" si="10"/>
        <v>7</v>
      </c>
      <c r="AA17">
        <v>16</v>
      </c>
      <c r="AB17">
        <f t="shared" si="11"/>
        <v>1</v>
      </c>
    </row>
    <row r="18" spans="1:2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46114</v>
      </c>
      <c r="R18">
        <f t="shared" ca="1" si="4"/>
        <v>3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Z18">
        <f t="shared" si="10"/>
        <v>17</v>
      </c>
      <c r="AA18">
        <v>17</v>
      </c>
      <c r="AB18">
        <f t="shared" si="11"/>
        <v>7</v>
      </c>
    </row>
    <row r="19" spans="1:2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45448</v>
      </c>
      <c r="R19">
        <f t="shared" ca="1" si="4"/>
        <v>669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05:25 PM</v>
      </c>
      <c r="Z19">
        <f t="shared" si="10"/>
        <v>17</v>
      </c>
      <c r="AA19">
        <v>18</v>
      </c>
      <c r="AB19">
        <f t="shared" si="11"/>
        <v>0</v>
      </c>
    </row>
    <row r="20" spans="1:2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45968</v>
      </c>
      <c r="R20">
        <f t="shared" ca="1" si="4"/>
        <v>149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Z20">
        <f t="shared" si="10"/>
        <v>7</v>
      </c>
      <c r="AA20">
        <v>19</v>
      </c>
      <c r="AB20">
        <f t="shared" si="11"/>
        <v>0</v>
      </c>
    </row>
    <row r="21" spans="1:2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>DATE(L21,K21,J21)</f>
        <v>45570</v>
      </c>
      <c r="R21">
        <f t="shared" ca="1" si="4"/>
        <v>547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Z21">
        <f t="shared" si="10"/>
        <v>17</v>
      </c>
      <c r="AA21">
        <v>20</v>
      </c>
      <c r="AB21">
        <f t="shared" si="11"/>
        <v>0</v>
      </c>
    </row>
    <row r="22" spans="1:28" x14ac:dyDescent="0.3">
      <c r="AA22">
        <v>21</v>
      </c>
      <c r="AB22">
        <f t="shared" si="11"/>
        <v>0</v>
      </c>
    </row>
    <row r="23" spans="1:28" x14ac:dyDescent="0.3">
      <c r="AA23">
        <v>22</v>
      </c>
      <c r="AB23">
        <f t="shared" si="11"/>
        <v>0</v>
      </c>
    </row>
    <row r="24" spans="1:28" x14ac:dyDescent="0.3">
      <c r="AA24">
        <v>23</v>
      </c>
      <c r="AB24">
        <f t="shared" si="11"/>
        <v>0</v>
      </c>
    </row>
    <row r="25" spans="1:28" x14ac:dyDescent="0.3">
      <c r="AA25">
        <v>24</v>
      </c>
      <c r="AB25">
        <f t="shared" si="11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9.664062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46117</v>
      </c>
      <c r="R2">
        <f ca="1">DATEDIF(D2,$P$2,"D")</f>
        <v>1146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1062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989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944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869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815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763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709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659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637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662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1166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1115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1039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949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899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767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699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621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ʐɛʀօ '</cp:lastModifiedBy>
  <dcterms:created xsi:type="dcterms:W3CDTF">2015-06-05T18:17:20Z</dcterms:created>
  <dcterms:modified xsi:type="dcterms:W3CDTF">2026-04-05T16:19:28Z</dcterms:modified>
</cp:coreProperties>
</file>