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HP\OneDrive\Documents\Coding\Excel\Excel_Data_Analytics_Course-main\2_Formulas_Functions\"/>
    </mc:Choice>
  </mc:AlternateContent>
  <xr:revisionPtr revIDLastSave="0" documentId="13_ncr:1_{F3ECBF54-1A3A-45FE-9BBF-281F560F4ED8}" xr6:coauthVersionLast="47" xr6:coauthVersionMax="47" xr10:uidLastSave="{00000000-0000-0000-0000-000000000000}"/>
  <bookViews>
    <workbookView xWindow="-108" yWindow="-108" windowWidth="23256" windowHeight="13176"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8" l="1"/>
  <c r="V3" i="8" s="1"/>
  <c r="U3" i="8"/>
  <c r="T4" i="8"/>
  <c r="U4" i="8"/>
  <c r="V4" i="8"/>
  <c r="T5" i="8"/>
  <c r="U5" i="8"/>
  <c r="V5" i="8"/>
  <c r="T6" i="8"/>
  <c r="U6" i="8"/>
  <c r="V6" i="8"/>
  <c r="T7" i="8"/>
  <c r="V7" i="8" s="1"/>
  <c r="U7" i="8"/>
  <c r="T8" i="8"/>
  <c r="U8" i="8"/>
  <c r="V8" i="8"/>
  <c r="T9" i="8"/>
  <c r="U9" i="8"/>
  <c r="V9" i="8"/>
  <c r="T10" i="8"/>
  <c r="U10" i="8"/>
  <c r="V10" i="8"/>
  <c r="T11" i="8"/>
  <c r="V11" i="8" s="1"/>
  <c r="U11" i="8"/>
  <c r="T12" i="8"/>
  <c r="U12" i="8"/>
  <c r="V12" i="8"/>
  <c r="T13" i="8"/>
  <c r="U13" i="8"/>
  <c r="V13" i="8"/>
  <c r="T14" i="8"/>
  <c r="U14" i="8"/>
  <c r="V14" i="8"/>
  <c r="T15" i="8"/>
  <c r="V15" i="8" s="1"/>
  <c r="U15" i="8"/>
  <c r="T16" i="8"/>
  <c r="U16" i="8"/>
  <c r="V16" i="8"/>
  <c r="T17" i="8"/>
  <c r="U17" i="8"/>
  <c r="V17" i="8"/>
  <c r="T18" i="8"/>
  <c r="U18" i="8"/>
  <c r="V18" i="8"/>
  <c r="T19" i="8"/>
  <c r="V19" i="8" s="1"/>
  <c r="U19" i="8"/>
  <c r="T20" i="8"/>
  <c r="U20" i="8"/>
  <c r="V20" i="8"/>
  <c r="T21" i="8"/>
  <c r="U21" i="8"/>
  <c r="V21" i="8"/>
  <c r="V2" i="8"/>
  <c r="U2" i="8"/>
  <c r="T2" i="8"/>
  <c r="O3" i="8"/>
  <c r="O4" i="8"/>
  <c r="O5" i="8"/>
  <c r="O6" i="8"/>
  <c r="O7" i="8"/>
  <c r="O8" i="8"/>
  <c r="O9" i="8"/>
  <c r="O10" i="8"/>
  <c r="O11" i="8"/>
  <c r="O12" i="8"/>
  <c r="O13"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A6" i="12" a="1"/>
  <c r="A6" i="12" s="1"/>
  <c r="A3" i="12"/>
  <c r="Q3" i="8"/>
  <c r="R3" i="8" s="1"/>
  <c r="Q4" i="8"/>
  <c r="R4" i="8" s="1"/>
  <c r="S4" i="8" s="1"/>
  <c r="Q5" i="8"/>
  <c r="R5" i="8"/>
  <c r="S5" i="8"/>
  <c r="Q6" i="8"/>
  <c r="R6" i="8"/>
  <c r="S6" i="8"/>
  <c r="Q7" i="8"/>
  <c r="R7" i="8" s="1"/>
  <c r="S7" i="8" s="1"/>
  <c r="Q8" i="8"/>
  <c r="R8" i="8"/>
  <c r="Q9" i="8"/>
  <c r="Q10" i="8"/>
  <c r="Q11" i="8"/>
  <c r="Q12" i="8"/>
  <c r="Q13" i="8"/>
  <c r="Q14" i="8"/>
  <c r="Q15" i="8"/>
  <c r="Q16" i="8"/>
  <c r="R16" i="8" s="1"/>
  <c r="Q17" i="8"/>
  <c r="R17" i="8" s="1"/>
  <c r="S17" i="8" s="1"/>
  <c r="Q18" i="8"/>
  <c r="R18" i="8"/>
  <c r="S18" i="8"/>
  <c r="Q19" i="8"/>
  <c r="R19" i="8" s="1"/>
  <c r="S19" i="8" s="1"/>
  <c r="Q20" i="8"/>
  <c r="R20" i="8" s="1"/>
  <c r="Q21" i="8"/>
  <c r="R21" i="8" s="1"/>
  <c r="S21" i="8" s="1"/>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S8" i="8" l="1"/>
  <c r="S20" i="8"/>
  <c r="S16" i="8"/>
  <c r="S3" i="8"/>
  <c r="A9" i="12" a="1"/>
  <c r="B23" i="12" s="1"/>
  <c r="R9" i="8"/>
  <c r="S9" i="8" s="1"/>
  <c r="R10" i="8"/>
  <c r="S10" i="8" s="1"/>
  <c r="R11" i="8"/>
  <c r="S11" i="8"/>
  <c r="R12" i="8"/>
  <c r="S12" i="8" s="1"/>
  <c r="R13" i="8"/>
  <c r="S13" i="8"/>
  <c r="R14" i="8"/>
  <c r="S14" i="8" s="1"/>
  <c r="R15" i="8"/>
  <c r="S15" i="8"/>
  <c r="R2" i="8"/>
  <c r="S2" i="8" s="1"/>
  <c r="K20" i="11"/>
  <c r="L20" i="11" s="1"/>
  <c r="K14" i="11"/>
  <c r="L14" i="11" s="1"/>
  <c r="K8" i="11"/>
  <c r="L8" i="11" s="1"/>
  <c r="B22" i="12" l="1"/>
  <c r="B16" i="12"/>
  <c r="B25" i="12"/>
  <c r="B14" i="12"/>
  <c r="B18" i="12"/>
  <c r="B20" i="12"/>
  <c r="B19" i="12"/>
  <c r="B15" i="12"/>
  <c r="B24" i="12"/>
  <c r="B21" i="12"/>
  <c r="B17" i="12"/>
  <c r="B12" i="12"/>
  <c r="B13" i="12"/>
  <c r="A9" i="12"/>
  <c r="B9" i="12" s="1"/>
  <c r="B10" i="12"/>
  <c r="B11"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<sst xmlns="http://schemas.openxmlformats.org/spreadsheetml/2006/main" count="609" uniqueCount="95">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</sst>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F1" zoomScale="110" zoomScaleNormal="110" workbookViewId="0">
      <selection activeCell="O23" sqref="O23"/>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hidden="1" customWidth="1"/>
    <col min="12" max="12" width="13.33203125" hidden="1" customWidth="1"/>
    <col min="13" max="13" width="15.44140625" hidden="1"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O2" t="str">
        <f>RIGHT(A2,5)</f>
        <v>23548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O3" t="str">
        <f t="shared" ref="O3:O21" si="1">RIGHT(A3,5)</f>
        <v>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
      <c r="A4" s="5" t="s">
        <v>73</v>
      </c>
      <c r="B4" s="1" t="s">
        <v>58</v>
      </c>
      <c r="C4" s="1" t="s">
        <v>12</v>
      </c>
      <c r="D4" s="11">
        <v>45128.729710648149</v>
      </c>
      <c r="E4" s="1" t="s">
        <v>59</v>
      </c>
      <c r="F4" s="1" t="s">
        <v>27</v>
      </c>
      <c r="G4" s="1" t="s">
        <v>26</v>
      </c>
      <c r="H4" s="6" t="s">
        <v>6</v>
      </c>
      <c r="J4" t="str">
        <f t="shared" si="0"/>
        <v>790 Pine St Chicago, IL, 60601</v>
      </c>
      <c r="O4" t="str">
        <f t="shared" si="1"/>
        <v>23550</v>
      </c>
      <c r="Q4">
        <f t="shared" si="2"/>
        <v>10</v>
      </c>
      <c r="R4">
        <f t="shared" si="3"/>
        <v>12</v>
      </c>
      <c r="S4" t="str">
        <f t="shared" si="4"/>
        <v>IL</v>
      </c>
      <c r="T4">
        <f t="shared" si="5"/>
        <v>10</v>
      </c>
      <c r="U4">
        <f t="shared" si="6"/>
        <v>12</v>
      </c>
      <c r="V4" t="str">
        <f t="shared" si="7"/>
        <v>IL</v>
      </c>
    </row>
    <row r="5" spans="1:22" x14ac:dyDescent="0.3">
      <c r="A5" s="5" t="s">
        <v>74</v>
      </c>
      <c r="B5" s="1" t="s">
        <v>42</v>
      </c>
      <c r="C5" s="1" t="s">
        <v>5</v>
      </c>
      <c r="D5" s="11">
        <v>45173.302187499998</v>
      </c>
      <c r="E5" s="1" t="s">
        <v>43</v>
      </c>
      <c r="F5" s="1" t="s">
        <v>23</v>
      </c>
      <c r="G5" s="1" t="s">
        <v>24</v>
      </c>
      <c r="H5" s="6" t="s">
        <v>11</v>
      </c>
      <c r="J5" t="str">
        <f t="shared" si="0"/>
        <v>457 Oak St San Jose, CA, 95101</v>
      </c>
      <c r="O5" t="str">
        <f t="shared" si="1"/>
        <v>23551</v>
      </c>
      <c r="Q5">
        <f t="shared" si="2"/>
        <v>11</v>
      </c>
      <c r="R5">
        <f t="shared" si="3"/>
        <v>13</v>
      </c>
      <c r="S5" t="str">
        <f t="shared" si="4"/>
        <v>CA</v>
      </c>
      <c r="T5">
        <f t="shared" si="5"/>
        <v>11</v>
      </c>
      <c r="U5">
        <f t="shared" si="6"/>
        <v>13</v>
      </c>
      <c r="V5" t="str">
        <f t="shared" si="7"/>
        <v>CA</v>
      </c>
    </row>
    <row r="6" spans="1:22" x14ac:dyDescent="0.3">
      <c r="A6" s="5" t="s">
        <v>75</v>
      </c>
      <c r="B6" s="1" t="s">
        <v>40</v>
      </c>
      <c r="C6" s="1" t="s">
        <v>7</v>
      </c>
      <c r="D6" s="11">
        <v>45248.70857638889</v>
      </c>
      <c r="E6" s="1" t="s">
        <v>41</v>
      </c>
      <c r="F6" s="1" t="s">
        <v>29</v>
      </c>
      <c r="G6" s="1" t="s">
        <v>30</v>
      </c>
      <c r="H6" s="6" t="s">
        <v>10</v>
      </c>
      <c r="J6" t="str">
        <f t="shared" si="0"/>
        <v>459 Oak St Philadelphia, PA, 19101</v>
      </c>
      <c r="O6" t="str">
        <f t="shared" si="1"/>
        <v>23552</v>
      </c>
      <c r="Q6">
        <f t="shared" si="2"/>
        <v>15</v>
      </c>
      <c r="R6">
        <f t="shared" si="3"/>
        <v>17</v>
      </c>
      <c r="S6" t="str">
        <f t="shared" si="4"/>
        <v>PA</v>
      </c>
      <c r="T6">
        <f t="shared" si="5"/>
        <v>15</v>
      </c>
      <c r="U6">
        <f t="shared" si="6"/>
        <v>17</v>
      </c>
      <c r="V6" t="str">
        <f t="shared" si="7"/>
        <v>PA</v>
      </c>
    </row>
    <row r="7" spans="1:22" x14ac:dyDescent="0.3">
      <c r="A7" s="5" t="s">
        <v>76</v>
      </c>
      <c r="B7" s="1" t="s">
        <v>46</v>
      </c>
      <c r="C7" s="1" t="s">
        <v>9</v>
      </c>
      <c r="D7" s="11">
        <v>45302.531921296293</v>
      </c>
      <c r="E7" s="1" t="s">
        <v>47</v>
      </c>
      <c r="F7" s="1" t="s">
        <v>31</v>
      </c>
      <c r="G7" s="1" t="s">
        <v>30</v>
      </c>
      <c r="H7" s="6" t="s">
        <v>15</v>
      </c>
      <c r="J7" t="str">
        <f t="shared" si="0"/>
        <v>204 Birch St Philadelphia, PA, 19101</v>
      </c>
      <c r="O7" t="str">
        <f t="shared" si="1"/>
        <v>23553</v>
      </c>
      <c r="Q7">
        <f t="shared" si="2"/>
        <v>15</v>
      </c>
      <c r="R7">
        <f t="shared" si="3"/>
        <v>17</v>
      </c>
      <c r="S7" t="str">
        <f t="shared" si="4"/>
        <v>PA</v>
      </c>
      <c r="T7">
        <f t="shared" si="5"/>
        <v>15</v>
      </c>
      <c r="U7">
        <f t="shared" si="6"/>
        <v>17</v>
      </c>
      <c r="V7" t="str">
        <f t="shared" si="7"/>
        <v>PA</v>
      </c>
    </row>
    <row r="8" spans="1:22" x14ac:dyDescent="0.3">
      <c r="A8" s="5" t="s">
        <v>77</v>
      </c>
      <c r="B8" s="1" t="s">
        <v>58</v>
      </c>
      <c r="C8" s="1" t="s">
        <v>5</v>
      </c>
      <c r="D8" s="11">
        <v>45354.687881944446</v>
      </c>
      <c r="E8" s="1" t="s">
        <v>59</v>
      </c>
      <c r="F8" s="1" t="s">
        <v>27</v>
      </c>
      <c r="G8" s="1" t="s">
        <v>26</v>
      </c>
      <c r="H8" s="6" t="s">
        <v>6</v>
      </c>
      <c r="J8" t="str">
        <f t="shared" si="0"/>
        <v>790 Pine St Chicago, IL, 60601</v>
      </c>
      <c r="O8" t="str">
        <f t="shared" si="1"/>
        <v>23554</v>
      </c>
      <c r="Q8">
        <f t="shared" si="2"/>
        <v>10</v>
      </c>
      <c r="R8">
        <f t="shared" si="3"/>
        <v>12</v>
      </c>
      <c r="S8" t="str">
        <f t="shared" si="4"/>
        <v>IL</v>
      </c>
      <c r="T8">
        <f t="shared" si="5"/>
        <v>10</v>
      </c>
      <c r="U8">
        <f t="shared" si="6"/>
        <v>12</v>
      </c>
      <c r="V8" t="str">
        <f t="shared" si="7"/>
        <v>IL</v>
      </c>
    </row>
    <row r="9" spans="1:22" x14ac:dyDescent="0.3">
      <c r="A9" s="5" t="s">
        <v>78</v>
      </c>
      <c r="B9" s="1" t="s">
        <v>46</v>
      </c>
      <c r="C9" s="1" t="s">
        <v>1</v>
      </c>
      <c r="D9" s="11">
        <v>45408.340810185182</v>
      </c>
      <c r="E9" s="1" t="s">
        <v>47</v>
      </c>
      <c r="F9" s="1" t="s">
        <v>31</v>
      </c>
      <c r="G9" s="1" t="s">
        <v>30</v>
      </c>
      <c r="H9" s="6" t="s">
        <v>15</v>
      </c>
      <c r="J9" t="str">
        <f t="shared" si="0"/>
        <v>204 Birch St Philadelphia, PA, 19101</v>
      </c>
      <c r="O9" t="str">
        <f t="shared" si="1"/>
        <v>23555</v>
      </c>
      <c r="Q9">
        <f t="shared" si="2"/>
        <v>15</v>
      </c>
      <c r="R9">
        <f t="shared" si="3"/>
        <v>17</v>
      </c>
      <c r="S9" t="str">
        <f t="shared" si="4"/>
        <v>PA</v>
      </c>
      <c r="T9">
        <f t="shared" si="5"/>
        <v>15</v>
      </c>
      <c r="U9">
        <f t="shared" si="6"/>
        <v>17</v>
      </c>
      <c r="V9" t="str">
        <f t="shared" si="7"/>
        <v>PA</v>
      </c>
    </row>
    <row r="10" spans="1:22" x14ac:dyDescent="0.3">
      <c r="A10" s="5" t="s">
        <v>79</v>
      </c>
      <c r="B10" s="1" t="s">
        <v>50</v>
      </c>
      <c r="C10" s="1" t="s">
        <v>7</v>
      </c>
      <c r="D10" s="11">
        <v>45458.743333333332</v>
      </c>
      <c r="E10" s="1" t="s">
        <v>51</v>
      </c>
      <c r="F10" s="1" t="s">
        <v>33</v>
      </c>
      <c r="G10" s="1" t="s">
        <v>26</v>
      </c>
      <c r="H10" s="6" t="s">
        <v>18</v>
      </c>
      <c r="J10" t="str">
        <f t="shared" si="0"/>
        <v>123 Elm St Chicago, IL, 60601</v>
      </c>
      <c r="O10" t="str">
        <f t="shared" si="1"/>
        <v>23556</v>
      </c>
      <c r="Q10">
        <f t="shared" si="2"/>
        <v>10</v>
      </c>
      <c r="R10">
        <f t="shared" si="3"/>
        <v>12</v>
      </c>
      <c r="S10" t="str">
        <f t="shared" si="4"/>
        <v>IL</v>
      </c>
      <c r="T10">
        <f t="shared" si="5"/>
        <v>10</v>
      </c>
      <c r="U10">
        <f t="shared" si="6"/>
        <v>12</v>
      </c>
      <c r="V10" t="str">
        <f t="shared" si="7"/>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O11" t="str">
        <f t="shared" si="1"/>
        <v>23557</v>
      </c>
      <c r="Q11">
        <f t="shared" si="2"/>
        <v>14</v>
      </c>
      <c r="R11">
        <f t="shared" si="3"/>
        <v>16</v>
      </c>
      <c r="S11" t="str">
        <f t="shared" si="4"/>
        <v>CA</v>
      </c>
      <c r="T11">
        <f t="shared" si="5"/>
        <v>14</v>
      </c>
      <c r="U11">
        <f t="shared" si="6"/>
        <v>16</v>
      </c>
      <c r="V11" t="str">
        <f t="shared" si="7"/>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O12" t="str">
        <f t="shared" si="1"/>
        <v>23558</v>
      </c>
      <c r="Q12">
        <f t="shared" si="2"/>
        <v>12</v>
      </c>
      <c r="R12">
        <f t="shared" si="3"/>
        <v>14</v>
      </c>
      <c r="S12" t="str">
        <f t="shared" si="4"/>
        <v>CA</v>
      </c>
      <c r="T12">
        <f t="shared" si="5"/>
        <v>12</v>
      </c>
      <c r="U12">
        <f t="shared" si="6"/>
        <v>14</v>
      </c>
      <c r="V12" t="str">
        <f t="shared" si="7"/>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O13" t="str">
        <f t="shared" si="1"/>
        <v>23559</v>
      </c>
      <c r="Q13">
        <f t="shared" si="2"/>
        <v>10</v>
      </c>
      <c r="R13">
        <f t="shared" si="3"/>
        <v>12</v>
      </c>
      <c r="S13" t="str">
        <f t="shared" si="4"/>
        <v>IL</v>
      </c>
      <c r="T13">
        <f t="shared" si="5"/>
        <v>10</v>
      </c>
      <c r="U13">
        <f t="shared" si="6"/>
        <v>12</v>
      </c>
      <c r="V13" t="str">
        <f t="shared" si="7"/>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O14" t="str">
        <f t="shared" si="1"/>
        <v>23560</v>
      </c>
      <c r="Q14">
        <f t="shared" si="2"/>
        <v>15</v>
      </c>
      <c r="R14">
        <f t="shared" si="3"/>
        <v>17</v>
      </c>
      <c r="S14" t="str">
        <f t="shared" si="4"/>
        <v>PA</v>
      </c>
      <c r="T14">
        <f t="shared" si="5"/>
        <v>15</v>
      </c>
      <c r="U14">
        <f t="shared" si="6"/>
        <v>17</v>
      </c>
      <c r="V14" t="str">
        <f t="shared" si="7"/>
        <v>PA</v>
      </c>
    </row>
    <row r="15" spans="1:22" x14ac:dyDescent="0.3">
      <c r="A15" s="5" t="s">
        <v>84</v>
      </c>
      <c r="B15" s="1" t="s">
        <v>52</v>
      </c>
      <c r="C15" s="1" t="s">
        <v>9</v>
      </c>
      <c r="D15" s="11">
        <v>45078.417256944442</v>
      </c>
      <c r="E15" s="1" t="s">
        <v>53</v>
      </c>
      <c r="F15" s="1" t="s">
        <v>33</v>
      </c>
      <c r="G15" s="1" t="s">
        <v>26</v>
      </c>
      <c r="H15" s="6" t="s">
        <v>19</v>
      </c>
      <c r="J15" t="str">
        <f t="shared" si="0"/>
        <v>123 Elm St Chicago, IL, 60601</v>
      </c>
      <c r="O15" t="str">
        <f t="shared" si="1"/>
        <v>23561</v>
      </c>
      <c r="Q15">
        <f t="shared" si="2"/>
        <v>10</v>
      </c>
      <c r="R15">
        <f t="shared" si="3"/>
        <v>12</v>
      </c>
      <c r="S15" t="str">
        <f t="shared" si="4"/>
        <v>IL</v>
      </c>
      <c r="T15">
        <f t="shared" si="5"/>
        <v>10</v>
      </c>
      <c r="U15">
        <f t="shared" si="6"/>
        <v>12</v>
      </c>
      <c r="V15" t="str">
        <f t="shared" si="7"/>
        <v>IL</v>
      </c>
    </row>
    <row r="16" spans="1:22" x14ac:dyDescent="0.3">
      <c r="A16" s="5" t="s">
        <v>85</v>
      </c>
      <c r="B16" s="1" t="s">
        <v>60</v>
      </c>
      <c r="C16" s="1" t="s">
        <v>9</v>
      </c>
      <c r="D16" s="11">
        <v>45168.729328703703</v>
      </c>
      <c r="E16" s="1" t="s">
        <v>61</v>
      </c>
      <c r="F16" s="1" t="s">
        <v>28</v>
      </c>
      <c r="G16" s="1" t="s">
        <v>26</v>
      </c>
      <c r="H16" s="6" t="s">
        <v>20</v>
      </c>
      <c r="J16" t="str">
        <f t="shared" si="0"/>
        <v>456 Oak St Chicago, IL, 60601</v>
      </c>
      <c r="O16" t="str">
        <f t="shared" si="1"/>
        <v>23562</v>
      </c>
      <c r="Q16">
        <f t="shared" si="2"/>
        <v>10</v>
      </c>
      <c r="R16">
        <f t="shared" si="3"/>
        <v>12</v>
      </c>
      <c r="S16" t="str">
        <f t="shared" si="4"/>
        <v>IL</v>
      </c>
      <c r="T16">
        <f t="shared" si="5"/>
        <v>10</v>
      </c>
      <c r="U16">
        <f t="shared" si="6"/>
        <v>12</v>
      </c>
      <c r="V16" t="str">
        <f t="shared" si="7"/>
        <v>IL</v>
      </c>
    </row>
    <row r="17" spans="1:22" x14ac:dyDescent="0.3">
      <c r="A17" s="5" t="s">
        <v>86</v>
      </c>
      <c r="B17" s="1" t="s">
        <v>38</v>
      </c>
      <c r="C17" s="1" t="s">
        <v>7</v>
      </c>
      <c r="D17" s="11">
        <v>45218.319780092592</v>
      </c>
      <c r="E17" s="1" t="s">
        <v>39</v>
      </c>
      <c r="F17" s="1" t="s">
        <v>25</v>
      </c>
      <c r="G17" s="1" t="s">
        <v>37</v>
      </c>
      <c r="H17" s="6" t="s">
        <v>14</v>
      </c>
      <c r="J17" t="str">
        <f t="shared" si="0"/>
        <v>203 Birch St Chicago, IL, 60602</v>
      </c>
      <c r="O17" t="str">
        <f t="shared" si="1"/>
        <v>23563</v>
      </c>
      <c r="Q17">
        <f t="shared" si="2"/>
        <v>10</v>
      </c>
      <c r="R17">
        <f t="shared" si="3"/>
        <v>12</v>
      </c>
      <c r="S17" t="str">
        <f t="shared" si="4"/>
        <v>IL</v>
      </c>
      <c r="T17">
        <f t="shared" si="5"/>
        <v>10</v>
      </c>
      <c r="U17">
        <f t="shared" si="6"/>
        <v>12</v>
      </c>
      <c r="V17" t="str">
        <f t="shared" si="7"/>
        <v>IL</v>
      </c>
    </row>
    <row r="18" spans="1:22" x14ac:dyDescent="0.3">
      <c r="A18" s="5" t="s">
        <v>87</v>
      </c>
      <c r="B18" s="1" t="s">
        <v>40</v>
      </c>
      <c r="C18" s="1" t="s">
        <v>12</v>
      </c>
      <c r="D18" s="11">
        <v>45350.719236111108</v>
      </c>
      <c r="E18" s="1" t="s">
        <v>41</v>
      </c>
      <c r="F18" s="1" t="s">
        <v>29</v>
      </c>
      <c r="G18" s="1" t="s">
        <v>30</v>
      </c>
      <c r="H18" s="6" t="s">
        <v>10</v>
      </c>
      <c r="J18" t="str">
        <f t="shared" si="0"/>
        <v>459 Oak St Philadelphia, PA, 19101</v>
      </c>
      <c r="O18" t="str">
        <f t="shared" si="1"/>
        <v>23564</v>
      </c>
      <c r="Q18">
        <f t="shared" si="2"/>
        <v>15</v>
      </c>
      <c r="R18">
        <f t="shared" si="3"/>
        <v>17</v>
      </c>
      <c r="S18" t="str">
        <f t="shared" si="4"/>
        <v>PA</v>
      </c>
      <c r="T18">
        <f t="shared" si="5"/>
        <v>15</v>
      </c>
      <c r="U18">
        <f t="shared" si="6"/>
        <v>17</v>
      </c>
      <c r="V18" t="str">
        <f t="shared" si="7"/>
        <v>PA</v>
      </c>
    </row>
    <row r="19" spans="1:22" x14ac:dyDescent="0.3">
      <c r="A19" s="5" t="s">
        <v>88</v>
      </c>
      <c r="B19" s="1" t="s">
        <v>48</v>
      </c>
      <c r="C19" s="1" t="s">
        <v>7</v>
      </c>
      <c r="D19" s="11">
        <v>45418.726354166669</v>
      </c>
      <c r="E19" s="1" t="s">
        <v>49</v>
      </c>
      <c r="F19" s="1" t="s">
        <v>28</v>
      </c>
      <c r="G19" s="1" t="s">
        <v>36</v>
      </c>
      <c r="H19" s="6" t="s">
        <v>8</v>
      </c>
      <c r="J19" t="str">
        <f t="shared" si="0"/>
        <v>456 Oak St New York, NY, 10001</v>
      </c>
      <c r="O19" t="str">
        <f t="shared" si="1"/>
        <v>23565</v>
      </c>
      <c r="Q19">
        <f t="shared" si="2"/>
        <v>11</v>
      </c>
      <c r="R19">
        <f t="shared" si="3"/>
        <v>13</v>
      </c>
      <c r="S19" t="str">
        <f t="shared" si="4"/>
        <v>NY</v>
      </c>
      <c r="T19">
        <f t="shared" si="5"/>
        <v>11</v>
      </c>
      <c r="U19">
        <f t="shared" si="6"/>
        <v>13</v>
      </c>
      <c r="V19" t="str">
        <f t="shared" si="7"/>
        <v>NY</v>
      </c>
    </row>
    <row r="20" spans="1:22" x14ac:dyDescent="0.3">
      <c r="A20" s="5" t="s">
        <v>89</v>
      </c>
      <c r="B20" s="1" t="s">
        <v>40</v>
      </c>
      <c r="C20" s="1" t="s">
        <v>9</v>
      </c>
      <c r="D20" s="11">
        <v>45496.291701388887</v>
      </c>
      <c r="E20" s="1" t="s">
        <v>41</v>
      </c>
      <c r="F20" s="1" t="s">
        <v>29</v>
      </c>
      <c r="G20" s="1" t="s">
        <v>30</v>
      </c>
      <c r="H20" s="6" t="s">
        <v>10</v>
      </c>
      <c r="J20" t="str">
        <f t="shared" si="0"/>
        <v>459 Oak St Philadelphia, PA, 19101</v>
      </c>
      <c r="O20" t="str">
        <f t="shared" si="1"/>
        <v>23566</v>
      </c>
      <c r="Q20">
        <f t="shared" si="2"/>
        <v>15</v>
      </c>
      <c r="R20">
        <f t="shared" si="3"/>
        <v>17</v>
      </c>
      <c r="S20" t="str">
        <f t="shared" si="4"/>
        <v>PA</v>
      </c>
      <c r="T20">
        <f t="shared" si="5"/>
        <v>15</v>
      </c>
      <c r="U20">
        <f t="shared" si="6"/>
        <v>17</v>
      </c>
      <c r="V20" t="str">
        <f t="shared" si="7"/>
        <v>PA</v>
      </c>
    </row>
    <row r="21" spans="1:22" ht="15" thickBot="1" x14ac:dyDescent="0.35">
      <c r="A21" s="5" t="s">
        <v>90</v>
      </c>
      <c r="B21" s="7" t="s">
        <v>40</v>
      </c>
      <c r="C21" s="7" t="s">
        <v>9</v>
      </c>
      <c r="D21" s="12">
        <v>45422.739884259259</v>
      </c>
      <c r="E21" s="7" t="s">
        <v>41</v>
      </c>
      <c r="F21" s="7" t="s">
        <v>29</v>
      </c>
      <c r="G21" s="7" t="s">
        <v>36</v>
      </c>
      <c r="H21" s="8" t="s">
        <v>10</v>
      </c>
      <c r="J21" t="str">
        <f t="shared" si="0"/>
        <v>459 Oak St New York, NY, 10001</v>
      </c>
      <c r="O21" t="str">
        <f t="shared" si="1"/>
        <v>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zoomScale="120" zoomScaleNormal="120" workbookViewId="0">
      <selection activeCell="L7" sqref="L7:L26"/>
    </sheetView>
  </sheetViews>
  <sheetFormatPr defaultRowHeight="14.4" x14ac:dyDescent="0.3"/>
  <cols>
    <col min="1" max="1" width="24.44140625" customWidth="1"/>
  </cols>
  <sheetData>
    <row r="2" spans="1:6" x14ac:dyDescent="0.3">
      <c r="A2" s="15" t="s">
        <v>94</v>
      </c>
      <c r="B2" s="16"/>
    </row>
    <row r="3" spans="1:6"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
      <c r="A5" s="15" t="s">
        <v>67</v>
      </c>
      <c r="B5" s="16"/>
    </row>
    <row r="6" spans="1:6" x14ac:dyDescent="0.3">
      <c r="A6" t="e" cm="1" vm="1">
        <f t="array" aca="1" ref="A6" ca="1">_xlfn.TEXTSPLIT(A3,", ")</f>
        <v>#NAME?</v>
      </c>
    </row>
    <row r="8" spans="1:6" x14ac:dyDescent="0.3">
      <c r="A8" s="15" t="s">
        <v>68</v>
      </c>
      <c r="B8" s="15" t="s">
        <v>93</v>
      </c>
      <c r="C8" s="16"/>
      <c r="D8" s="16"/>
      <c r="E8" s="16"/>
      <c r="F8" s="16"/>
    </row>
    <row r="9" spans="1:6" x14ac:dyDescent="0.3">
      <c r="A9" s="1" t="e" cm="1" vm="2">
        <f t="array" aca="1" ref="A9:A10" ca="1">_xlfn.UNIQUE(TRANSPOSE(6:6))</f>
        <v>#NAME?</v>
      </c>
      <c r="B9" s="1">
        <f ca="1">COUNTIF($6:$6,A9)</f>
        <v>1</v>
      </c>
    </row>
    <row r="10" spans="1:6" x14ac:dyDescent="0.3">
      <c r="A10" s="1">
        <f ca="1"/>
        <v>0</v>
      </c>
      <c r="B10" s="1">
        <f t="shared" ref="B10:B25" ca="1" si="0">COUNTIF($6:$6,A10)</f>
        <v>0</v>
      </c>
    </row>
    <row r="11" spans="1:6" x14ac:dyDescent="0.3">
      <c r="A11" s="1"/>
      <c r="B11" s="1">
        <f t="shared" ca="1" si="0"/>
        <v>0</v>
      </c>
    </row>
    <row r="12" spans="1:6" x14ac:dyDescent="0.3">
      <c r="A12" s="1"/>
      <c r="B12" s="1">
        <f t="shared" ca="1" si="0"/>
        <v>0</v>
      </c>
    </row>
    <row r="13" spans="1:6" x14ac:dyDescent="0.3">
      <c r="A13" s="1"/>
      <c r="B13" s="1">
        <f t="shared" ca="1" si="0"/>
        <v>0</v>
      </c>
    </row>
    <row r="14" spans="1:6" x14ac:dyDescent="0.3">
      <c r="A14" s="1"/>
      <c r="B14" s="1">
        <f t="shared" ca="1" si="0"/>
        <v>0</v>
      </c>
    </row>
    <row r="15" spans="1:6" x14ac:dyDescent="0.3">
      <c r="A15" s="1"/>
      <c r="B15" s="1">
        <f t="shared" ca="1" si="0"/>
        <v>0</v>
      </c>
    </row>
    <row r="16" spans="1:6" x14ac:dyDescent="0.3">
      <c r="A16" s="1"/>
      <c r="B16" s="1">
        <f t="shared" ca="1" si="0"/>
        <v>0</v>
      </c>
    </row>
    <row r="17" spans="1:2" x14ac:dyDescent="0.3">
      <c r="A17" s="1"/>
      <c r="B17" s="1">
        <f t="shared" ca="1" si="0"/>
        <v>0</v>
      </c>
    </row>
    <row r="18" spans="1:2" x14ac:dyDescent="0.3">
      <c r="A18" s="1"/>
      <c r="B18" s="1">
        <f t="shared" ca="1" si="0"/>
        <v>0</v>
      </c>
    </row>
    <row r="19" spans="1:2" x14ac:dyDescent="0.3">
      <c r="A19" s="1"/>
      <c r="B19" s="1">
        <f t="shared" ca="1" si="0"/>
        <v>0</v>
      </c>
    </row>
    <row r="20" spans="1:2" x14ac:dyDescent="0.3">
      <c r="A20" s="1"/>
      <c r="B20" s="1">
        <f t="shared" ca="1" si="0"/>
        <v>0</v>
      </c>
    </row>
    <row r="21" spans="1:2" x14ac:dyDescent="0.3">
      <c r="A21" s="1"/>
      <c r="B21" s="1">
        <f t="shared" ca="1" si="0"/>
        <v>0</v>
      </c>
    </row>
    <row r="22" spans="1:2" x14ac:dyDescent="0.3">
      <c r="A22" s="1"/>
      <c r="B22" s="1">
        <f t="shared" ca="1" si="0"/>
        <v>0</v>
      </c>
    </row>
    <row r="23" spans="1:2" x14ac:dyDescent="0.3">
      <c r="A23" s="1"/>
      <c r="B23" s="1">
        <f t="shared" ca="1" si="0"/>
        <v>0</v>
      </c>
    </row>
    <row r="24" spans="1:2" x14ac:dyDescent="0.3">
      <c r="A24" s="1"/>
      <c r="B24" s="1">
        <f t="shared" ca="1" si="0"/>
        <v>0</v>
      </c>
    </row>
    <row r="25" spans="1:2" x14ac:dyDescent="0.3">
      <c r="A25" s="1"/>
      <c r="B25" s="1">
        <f t="shared" ca="1"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ʐɛʀօ '</cp:lastModifiedBy>
  <dcterms:created xsi:type="dcterms:W3CDTF">2015-06-05T18:17:20Z</dcterms:created>
  <dcterms:modified xsi:type="dcterms:W3CDTF">2026-04-05T15:51:08Z</dcterms:modified>
</cp:coreProperties>
</file>