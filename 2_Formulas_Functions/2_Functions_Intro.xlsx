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2_Formulas_Functions\"/>
    </mc:Choice>
  </mc:AlternateContent>
  <xr:revisionPtr revIDLastSave="0" documentId="13_ncr:1_{71555414-553B-4919-B9B2-D03C04160FA3}" xr6:coauthVersionLast="47" xr6:coauthVersionMax="47" xr10:uidLastSave="{00000000-0000-0000-0000-000000000000}"/>
  <bookViews>
    <workbookView xWindow="-108" yWindow="-108" windowWidth="23256" windowHeight="13176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E16" i="9"/>
  <c r="D15" i="9"/>
  <c r="E15" i="9"/>
  <c r="C15" i="9"/>
  <c r="D14" i="9"/>
  <c r="E14" i="9"/>
  <c r="C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K7" i="9"/>
  <c r="I7" i="9"/>
  <c r="J7" i="9" s="1"/>
  <c r="H7" i="9"/>
  <c r="G7" i="9"/>
  <c r="M7" i="9" s="1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G13" i="9" s="1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I13" i="9" l="1"/>
  <c r="K13" i="9"/>
  <c r="F13" i="9"/>
  <c r="L13" i="9"/>
  <c r="P7" i="9"/>
  <c r="P9" i="9"/>
  <c r="H13" i="9"/>
  <c r="M12" i="9"/>
  <c r="P12" i="9" s="1"/>
  <c r="J12" i="9"/>
  <c r="J11" i="9"/>
  <c r="M11" i="9"/>
  <c r="P11" i="9" s="1"/>
  <c r="M10" i="9"/>
  <c r="P10" i="9" s="1"/>
  <c r="J10" i="9"/>
  <c r="J9" i="9"/>
  <c r="M9" i="9"/>
  <c r="J8" i="9"/>
  <c r="M8" i="9"/>
  <c r="P8" i="9" s="1"/>
  <c r="O7" i="9"/>
  <c r="N7" i="9"/>
  <c r="J6" i="9"/>
  <c r="M6" i="9"/>
  <c r="P6" i="9" s="1"/>
  <c r="J5" i="9"/>
  <c r="M5" i="9"/>
  <c r="P5" i="9" s="1"/>
  <c r="J4" i="9"/>
  <c r="M4" i="9"/>
  <c r="P4" i="9" s="1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J13" i="9" l="1"/>
  <c r="O8" i="9"/>
  <c r="P3" i="9"/>
  <c r="M13" i="9"/>
  <c r="N8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N13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<sst xmlns="http://schemas.openxmlformats.org/spreadsheetml/2006/main" count="83" uniqueCount="50">
  <si>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</si>
  <si>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</si>
  <si>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</si>
  <si>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</si>
  <si>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</si>
  <si>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</si>
  <si>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</si>
  <si>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</si>
  <si>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</si>
  <si>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</si>
  <si>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</si>
  <si>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</si>
  <si>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</si>
  <si>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</si>
  <si>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</si>
  <si>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</si>
  <si>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</si>
  <si>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</si>
  <si>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</si>
  <si>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</si>
  <si>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</si>
  <si>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</si>
  <si>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</si>
  <si>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</si>
  <si>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</si>
  <si>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</si>
  <si>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</si>
  <si>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</si>
  <si>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</si>
  <si>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</si>
  <si>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</si>
  <si>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</si>
  <si>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</si>
  <si>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</si>
  <si>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</si>
  <si>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</si>
  <si>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</si>
  <si>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</si>
  <si>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</si>
  <si>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</si>
  <si>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</si>
  <si>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</si>
  <si>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</si>
  <si>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</si>
  <si>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</si>
  <si>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</si>
  <si>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</si>
  <si>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</si>
  <si>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</si>
  <si>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Total Count (count the 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</si>
</sst>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A1:S17"/>
  <sheetViews>
    <sheetView zoomScale="120" zoomScaleNormal="120" workbookViewId="0">
      <selection activeCell="S5" sqref="S5"/>
    </sheetView>
  </sheetViews>
  <sheetFormatPr defaultColWidth="9" defaultRowHeight="14.4" x14ac:dyDescent="0.3"/>
  <cols>
    <col min="1" max="1" width="3.6640625" style="1" customWidth="1"/>
    <col min="2" max="2" width="25.44140625" style="1" bestFit="1" customWidth="1"/>
    <col min="3" max="3" width="10.44140625" style="1" customWidth="1"/>
    <col min="4" max="4" width="12.21875" style="1" customWidth="1"/>
    <col min="5" max="5" width="16.77734375" style="1" bestFit="1" customWidth="1"/>
    <col min="6" max="6" width="12.88671875" style="1" hidden="1" customWidth="1"/>
    <col min="7" max="7" width="13.6640625" style="1" hidden="1" customWidth="1"/>
    <col min="8" max="8" width="13.21875" style="1" hidden="1" customWidth="1"/>
    <col min="9" max="9" width="18.21875" style="1" hidden="1" customWidth="1"/>
    <col min="10" max="10" width="33.33203125" style="1" hidden="1" customWidth="1"/>
    <col min="11" max="11" width="22.6640625" style="1" hidden="1" customWidth="1"/>
    <col min="12" max="12" width="16" style="1" bestFit="1" customWidth="1"/>
    <col min="13" max="13" width="11.77734375" style="1" bestFit="1" customWidth="1"/>
    <col min="14" max="14" width="10.554687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4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1</v>
      </c>
      <c r="M4" s="22" t="b">
        <f t="shared" si="1"/>
        <v>1</v>
      </c>
      <c r="N4" s="22">
        <f t="shared" ref="N4:N12" si="8">L4*M4</f>
        <v>1</v>
      </c>
      <c r="O4" s="22" t="b">
        <f t="shared" ref="O4:O12" si="9">L4*M4=1</f>
        <v>1</v>
      </c>
      <c r="P4" s="22" t="b">
        <f t="shared" ref="P4:P12" si="10">AND(L4,M4)</f>
        <v>1</v>
      </c>
      <c r="R4" s="12" t="s">
        <v>23</v>
      </c>
      <c r="S4" s="13">
        <v>120000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0</v>
      </c>
      <c r="N6" s="22">
        <f t="shared" si="8"/>
        <v>0</v>
      </c>
      <c r="O6" s="22" t="b">
        <f t="shared" si="9"/>
        <v>0</v>
      </c>
      <c r="P6" s="22" t="b">
        <f t="shared" si="10"/>
        <v>0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0</v>
      </c>
      <c r="N8" s="22">
        <f t="shared" si="8"/>
        <v>0</v>
      </c>
      <c r="O8" s="22" t="b">
        <f t="shared" si="9"/>
        <v>0</v>
      </c>
      <c r="P8" s="22" t="b">
        <f t="shared" si="10"/>
        <v>0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SUM(C3:C12)/10</f>
        <v>5.3</v>
      </c>
      <c r="D13" s="19">
        <f>SUM(D3:D12)/10</f>
        <v>119000</v>
      </c>
      <c r="E13" s="19">
        <f t="shared" ref="E13:N13" si="11">SUM(E3:E12)/10</f>
        <v>10400</v>
      </c>
      <c r="F13" s="19">
        <f t="shared" si="11"/>
        <v>5.3</v>
      </c>
      <c r="G13" s="19">
        <f t="shared" si="11"/>
        <v>129400</v>
      </c>
      <c r="H13" s="19">
        <f t="shared" si="11"/>
        <v>8.5565480895915674E-2</v>
      </c>
      <c r="I13" s="19">
        <f t="shared" si="11"/>
        <v>129400</v>
      </c>
      <c r="J13" s="19">
        <f t="shared" si="11"/>
        <v>0</v>
      </c>
      <c r="K13" s="19">
        <f t="shared" si="11"/>
        <v>0</v>
      </c>
      <c r="L13" s="19">
        <f t="shared" si="11"/>
        <v>0</v>
      </c>
      <c r="M13" s="19">
        <f t="shared" si="11"/>
        <v>0</v>
      </c>
      <c r="N13" s="19">
        <f t="shared" si="11"/>
        <v>0.5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" thickTop="1" x14ac:dyDescent="0.3">
      <c r="B15" s="29" t="s">
        <v>49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3">
      <c r="B16" s="33" t="s">
        <v>31</v>
      </c>
      <c r="C16" s="18">
        <f>COUNTIF($C$3:$C$12,"&lt;=5")</f>
        <v>6</v>
      </c>
      <c r="D16" s="18">
        <f>COUNTIF($D$3:$D$12,"&gt;= 90000")</f>
        <v>9</v>
      </c>
      <c r="E16" s="18">
        <f>COUNTIF(E3:E12,"&lt;=5")</f>
        <v>0</v>
      </c>
    </row>
    <row r="17" spans="2:5" ht="15" thickBot="1" x14ac:dyDescent="0.35">
      <c r="B17" s="12" t="s">
        <v>31</v>
      </c>
      <c r="C17" s="35">
        <f xml:space="preserve"> COUNTIF(C3:C12,"&lt;="&amp;$S3)</f>
        <v>4</v>
      </c>
      <c r="D17" s="35">
        <f xml:space="preserve"> COUNTIF(D3:D12,"&lt;="&amp;$S4)</f>
        <v>5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E14" sqref="E14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ʐɛʀօ '</cp:lastModifiedBy>
  <dcterms:created xsi:type="dcterms:W3CDTF">2024-07-16T20:11:02Z</dcterms:created>
  <dcterms:modified xsi:type="dcterms:W3CDTF">2026-03-05T06:57:21Z</dcterms:modified>
</cp:coreProperties>
</file>