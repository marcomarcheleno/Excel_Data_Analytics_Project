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OneDrive\Documents\Coding\Excel\Excel_Data_Analytics_Course-main\2_Formulas_Functions\"/>
    </mc:Choice>
  </mc:AlternateContent>
  <xr:revisionPtr revIDLastSave="0" documentId="13_ncr:1_{1CC9CC0D-EB16-4432-A5D6-E7D305FCB36F}" xr6:coauthVersionLast="47" xr6:coauthVersionMax="47" xr10:uidLastSave="{00000000-0000-0000-0000-000000000000}"/>
  <bookViews>
    <workbookView xWindow="-108" yWindow="-108" windowWidth="23256" windowHeight="1317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 s="1"/>
  <c r="R5" i="10" a="1"/>
  <c r="R5" i="10"/>
  <c r="R6" i="10" a="1"/>
  <c r="R6" i="10"/>
  <c r="R7" i="10" a="1"/>
  <c r="R7" i="10"/>
  <c r="R8" i="10" a="1"/>
  <c r="R8" i="10"/>
  <c r="R9" i="10" a="1"/>
  <c r="R9" i="10"/>
  <c r="R10" i="10" a="1"/>
  <c r="R10" i="10" s="1"/>
  <c r="R11" i="10" a="1"/>
  <c r="R11" i="10"/>
  <c r="R12" i="10" a="1"/>
  <c r="R12" i="10"/>
  <c r="R13" i="10" a="1"/>
  <c r="R13" i="10" s="1"/>
  <c r="R14" i="10" a="1"/>
  <c r="R14" i="10"/>
  <c r="R15" i="10" a="1"/>
  <c r="R15" i="10"/>
  <c r="R16" i="10" a="1"/>
  <c r="R16" i="10" s="1"/>
  <c r="R17" i="10" a="1"/>
  <c r="R17" i="10"/>
  <c r="R18" i="10" a="1"/>
  <c r="R18" i="10"/>
  <c r="R19" i="10" a="1"/>
  <c r="R19" i="10"/>
  <c r="R20" i="10" a="1"/>
  <c r="R20" i="10"/>
  <c r="R21" i="10" a="1"/>
  <c r="R21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6" i="10"/>
  <c r="L3" i="10"/>
  <c r="L2" i="10"/>
  <c r="L4" i="10"/>
  <c r="L5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<sst xmlns="http://schemas.openxmlformats.org/spreadsheetml/2006/main" count="395" uniqueCount="144">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</sst>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18" sqref="Q18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13" style="1" bestFit="1" customWidth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IF(P3,"Goals Met","Goals Not Met")</f>
        <v>Goals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IF(P4,"Goals Met","Goals Not Met")</f>
        <v>Goals 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Goals 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Goals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Goals 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Goals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Goals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Goals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Goals 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Goals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2" sqref="R2:R21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4.44140625" hidden="1" customWidth="1"/>
    <col min="12" max="12" width="14.88671875" hidden="1" customWidth="1"/>
    <col min="13" max="13" width="14.44140625" hidden="1" customWidth="1"/>
    <col min="14" max="14" width="9.77734375" hidden="1" customWidth="1"/>
    <col min="15" max="15" width="6.44140625" hidden="1" customWidth="1"/>
    <col min="16" max="16" width="14.33203125" customWidth="1"/>
    <col min="17" max="17" width="11.44140625" bestFit="1" customWidth="1"/>
    <col min="18" max="18" width="12.4414062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Desired","Role Not Desired")</f>
        <v>Role Not Desired</v>
      </c>
      <c r="L2" t="str">
        <f>IF($A2=L$1,"Role Desired","Role Not Desired")</f>
        <v>Role Not Desired</v>
      </c>
      <c r="M2" t="str">
        <f>IF($A2=K$1,"Role Desired",IF($A2=L$1,"Role Desired", "Role Not Desired"))</f>
        <v>Role Not Desired</v>
      </c>
      <c r="N2" t="b">
        <f>AND($A2=K$1,$A2=L$1)</f>
        <v>0</v>
      </c>
      <c r="O2" t="b">
        <f>OR($A2=K$1,$A2=L$1)</f>
        <v>0</v>
      </c>
      <c r="P2" t="str">
        <f>IF(OR($A2=K$1,$A2=L$1),"Role Desired","Role Not Desired")</f>
        <v>Role Not Desired</v>
      </c>
      <c r="Q2" t="str">
        <f>IF($H2&gt;=Q$1,"Salary &gt;= 85k","Salary Low")</f>
        <v>Salary &gt;= 85k</v>
      </c>
      <c r="R2" t="str" cm="1">
        <f t="array" ref="R2">_xlfn.IFS($H2="","No Data",$H2&gt;=Q$1,"Salary &gt;= $85k",$H2&lt;=Q$1,"Salary Low")</f>
        <v>Salary &gt;= $85k</v>
      </c>
    </row>
    <row r="3" spans="1:18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Desired","Role Not Desired")</f>
        <v>Role Desired</v>
      </c>
      <c r="L3" t="str">
        <f>IF($A3=L$1,"Role Desired","Role Not Desired")</f>
        <v>Role Not Desired</v>
      </c>
      <c r="M3" t="str">
        <f t="shared" ref="M3:M21" si="1">IF($A3=K$1,"Role Desired",IF($A3=L$1,"Role Desired", "Role Not Desired"))</f>
        <v>Role Desired</v>
      </c>
      <c r="N3" t="b">
        <f t="shared" ref="N3:N21" si="2">AND($A3=K$1,$A3=L$1)</f>
        <v>0</v>
      </c>
      <c r="O3" t="b">
        <f t="shared" ref="O3:O21" si="3">OR($A3=K$1,$A3=L$1)</f>
        <v>1</v>
      </c>
      <c r="P3" t="str">
        <f t="shared" ref="P3:P21" si="4">IF(OR($A3=K$1,$A3=L$1),"Role Desired","Role Not Desired")</f>
        <v>Role Desired</v>
      </c>
      <c r="Q3" t="str">
        <f t="shared" ref="Q3:Q21" si="5">IF($H3&gt;=Q$1,"Salary &gt;= 85k","Salary Low")</f>
        <v>Salary Low</v>
      </c>
      <c r="R3" t="str" cm="1">
        <f t="array" ref="R3">_xlfn.IFS($H3="","No Data",$H3&gt;=Q$1,"Salary &gt;= $85k",$H3&lt;=Q$1,"Salary Low")</f>
        <v>Salary Low</v>
      </c>
    </row>
    <row r="4" spans="1:18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Role 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Data",$H4&gt;=Q$1,"Salary &gt;= $85k",$H4&lt;=Q$1,"Salary Low")</f>
        <v>No Data</v>
      </c>
    </row>
    <row r="5" spans="1:18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Role Not Desired</v>
      </c>
      <c r="L5" t="str">
        <f t="shared" si="0"/>
        <v>Role Not Desired</v>
      </c>
      <c r="M5" t="str">
        <f t="shared" si="1"/>
        <v>Role Not Desired</v>
      </c>
      <c r="N5" t="b">
        <f t="shared" si="2"/>
        <v>0</v>
      </c>
      <c r="O5" t="b">
        <f t="shared" si="3"/>
        <v>0</v>
      </c>
      <c r="P5" t="str">
        <f t="shared" si="4"/>
        <v>Role Not Desired</v>
      </c>
      <c r="Q5" t="str">
        <f t="shared" si="5"/>
        <v>Salary Low</v>
      </c>
      <c r="R5" t="str" cm="1">
        <f t="array" ref="R5">_xlfn.IFS($H5="","No Data",$H5&gt;=Q$1,"Salary &gt;= $85k",$H5&lt;=Q$1,"Salary Low")</f>
        <v>No Data</v>
      </c>
    </row>
    <row r="6" spans="1:18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Role Not Desired</v>
      </c>
      <c r="L6" t="str">
        <f>IF($A6=L$1,"Role Desired","Role Not Desired")</f>
        <v>Role Not Desired</v>
      </c>
      <c r="M6" t="str">
        <f t="shared" si="1"/>
        <v>Role Not Desired</v>
      </c>
      <c r="N6" t="b">
        <f t="shared" si="2"/>
        <v>0</v>
      </c>
      <c r="O6" t="b">
        <f t="shared" si="3"/>
        <v>0</v>
      </c>
      <c r="P6" t="str">
        <f t="shared" si="4"/>
        <v>Role Not Desired</v>
      </c>
      <c r="Q6" t="str">
        <f t="shared" si="5"/>
        <v>Salary Low</v>
      </c>
      <c r="R6" t="str" cm="1">
        <f t="array" ref="R6">_xlfn.IFS($H6="","No Data",$H6&gt;=Q$1,"Salary &gt;= $85k",$H6&lt;=Q$1,"Salary Low")</f>
        <v>No Data</v>
      </c>
    </row>
    <row r="7" spans="1:18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Role Not Desired</v>
      </c>
      <c r="L7" t="str">
        <f t="shared" si="0"/>
        <v>Role Not Desired</v>
      </c>
      <c r="M7" t="str">
        <f t="shared" si="1"/>
        <v>Role Not Desired</v>
      </c>
      <c r="N7" t="b">
        <f t="shared" si="2"/>
        <v>0</v>
      </c>
      <c r="O7" t="b">
        <f t="shared" si="3"/>
        <v>0</v>
      </c>
      <c r="P7" t="str">
        <f t="shared" si="4"/>
        <v>Role Not Desired</v>
      </c>
      <c r="Q7" t="str">
        <f t="shared" si="5"/>
        <v>Salary Low</v>
      </c>
      <c r="R7" t="str" cm="1">
        <f t="array" ref="R7">_xlfn.IFS($H7="","No Data",$H7&gt;=Q$1,"Salary &gt;= $85k",$H7&lt;=Q$1,"Salary Low")</f>
        <v>No Data</v>
      </c>
    </row>
    <row r="8" spans="1:18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Role 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Data",$H8&gt;=Q$1,"Salary &gt;= $85k",$H8&lt;=Q$1,"Salary Low")</f>
        <v>No Data</v>
      </c>
    </row>
    <row r="9" spans="1:18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Role 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 &gt;= 85k</v>
      </c>
      <c r="R9" t="str" cm="1">
        <f t="array" ref="R9">_xlfn.IFS($H9="","No Data",$H9&gt;=Q$1,"Salary &gt;= $85k",$H9&lt;=Q$1,"Salary Low")</f>
        <v>Salary &gt;= $85k</v>
      </c>
    </row>
    <row r="10" spans="1:18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Role 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Data",$H10&gt;=Q$1,"Salary &gt;= $85k",$H10&lt;=Q$1,"Salary Low")</f>
        <v>No Data</v>
      </c>
    </row>
    <row r="11" spans="1:18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Role 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 &gt;= 85k</v>
      </c>
      <c r="R11" t="str" cm="1">
        <f t="array" ref="R11">_xlfn.IFS($H11="","No Data",$H11&gt;=Q$1,"Salary &gt;= $85k",$H11&lt;=Q$1,"Salary Low")</f>
        <v>Salary &gt;= $85k</v>
      </c>
    </row>
    <row r="12" spans="1:18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Role Not Desired</v>
      </c>
      <c r="L12" t="str">
        <f t="shared" si="0"/>
        <v>Role Not Desired</v>
      </c>
      <c r="M12" t="str">
        <f t="shared" si="1"/>
        <v>Role Not Desired</v>
      </c>
      <c r="N12" t="b">
        <f t="shared" si="2"/>
        <v>0</v>
      </c>
      <c r="O12" t="b">
        <f t="shared" si="3"/>
        <v>0</v>
      </c>
      <c r="P12" t="str">
        <f t="shared" si="4"/>
        <v>Role Not Desired</v>
      </c>
      <c r="Q12" t="str">
        <f t="shared" si="5"/>
        <v>Salary &gt;= 85k</v>
      </c>
      <c r="R12" t="str" cm="1">
        <f t="array" ref="R12">_xlfn.IFS($H12="","No Data",$H12&gt;=Q$1,"Salary &gt;= $85k",$H12&lt;=Q$1,"Salary Low")</f>
        <v>Salary &gt;= $85k</v>
      </c>
    </row>
    <row r="13" spans="1:18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Role Not Desired</v>
      </c>
      <c r="L13" t="str">
        <f t="shared" si="0"/>
        <v>Role Not Desired</v>
      </c>
      <c r="M13" t="str">
        <f t="shared" si="1"/>
        <v>Role Not Desired</v>
      </c>
      <c r="N13" t="b">
        <f t="shared" si="2"/>
        <v>0</v>
      </c>
      <c r="O13" t="b">
        <f t="shared" si="3"/>
        <v>0</v>
      </c>
      <c r="P13" t="str">
        <f t="shared" si="4"/>
        <v>Role Not Desired</v>
      </c>
      <c r="Q13" t="str">
        <f t="shared" si="5"/>
        <v>Salary &gt;= 85k</v>
      </c>
      <c r="R13" t="str" cm="1">
        <f t="array" ref="R13">_xlfn.IFS($H13="","No Data",$H13&gt;=Q$1,"Salary &gt;= $85k",$H13&lt;=Q$1,"Salary Low")</f>
        <v>Salary &gt;= $85k</v>
      </c>
    </row>
    <row r="14" spans="1:18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Role Not Desired</v>
      </c>
      <c r="L14" t="str">
        <f t="shared" si="0"/>
        <v>Role Not Desired</v>
      </c>
      <c r="M14" t="str">
        <f t="shared" si="1"/>
        <v>Role Not Desired</v>
      </c>
      <c r="N14" t="b">
        <f t="shared" si="2"/>
        <v>0</v>
      </c>
      <c r="O14" t="b">
        <f t="shared" si="3"/>
        <v>0</v>
      </c>
      <c r="P14" t="str">
        <f t="shared" si="4"/>
        <v>Role Not Desired</v>
      </c>
      <c r="Q14" t="str">
        <f t="shared" si="5"/>
        <v>Salary &gt;= 85k</v>
      </c>
      <c r="R14" t="str" cm="1">
        <f t="array" ref="R14">_xlfn.IFS($H14="","No Data",$H14&gt;=Q$1,"Salary &gt;= $85k",$H14&lt;=Q$1,"Salary Low")</f>
        <v>Salary &gt;= $85k</v>
      </c>
    </row>
    <row r="15" spans="1:18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Role Not Desired</v>
      </c>
      <c r="L15" t="str">
        <f t="shared" si="0"/>
        <v>Role Not Desired</v>
      </c>
      <c r="M15" t="str">
        <f t="shared" si="1"/>
        <v>Role Not Desired</v>
      </c>
      <c r="N15" t="b">
        <f t="shared" si="2"/>
        <v>0</v>
      </c>
      <c r="O15" t="b">
        <f t="shared" si="3"/>
        <v>0</v>
      </c>
      <c r="P15" t="str">
        <f t="shared" si="4"/>
        <v>Role Not Desired</v>
      </c>
      <c r="Q15" t="str">
        <f t="shared" si="5"/>
        <v>Salary Low</v>
      </c>
      <c r="R15" t="str" cm="1">
        <f t="array" ref="R15">_xlfn.IFS($H15="","No Data",$H15&gt;=Q$1,"Salary &gt;= $85k",$H15&lt;=Q$1,"Salary Low")</f>
        <v>Salary Low</v>
      </c>
    </row>
    <row r="16" spans="1:18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Role Not Desired</v>
      </c>
      <c r="L16" t="str">
        <f t="shared" si="0"/>
        <v>Role Not Desired</v>
      </c>
      <c r="M16" t="str">
        <f t="shared" si="1"/>
        <v>Role Not Desired</v>
      </c>
      <c r="N16" t="b">
        <f t="shared" si="2"/>
        <v>0</v>
      </c>
      <c r="O16" t="b">
        <f t="shared" si="3"/>
        <v>0</v>
      </c>
      <c r="P16" t="str">
        <f t="shared" si="4"/>
        <v>Role Not Desired</v>
      </c>
      <c r="Q16" t="str">
        <f t="shared" si="5"/>
        <v>Salary &gt;= 85k</v>
      </c>
      <c r="R16" t="str" cm="1">
        <f t="array" ref="R16">_xlfn.IFS($H16="","No Data",$H16&gt;=Q$1,"Salary &gt;= $85k",$H16&lt;=Q$1,"Salary Low")</f>
        <v>Salary &gt;= $85k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Role Not Desired</v>
      </c>
      <c r="L17" t="str">
        <f t="shared" si="0"/>
        <v>Role Not Desired</v>
      </c>
      <c r="M17" t="str">
        <f t="shared" si="1"/>
        <v>Role Not Desired</v>
      </c>
      <c r="N17" t="b">
        <f t="shared" si="2"/>
        <v>0</v>
      </c>
      <c r="O17" t="b">
        <f t="shared" si="3"/>
        <v>0</v>
      </c>
      <c r="P17" t="str">
        <f t="shared" si="4"/>
        <v>Role Not Desired</v>
      </c>
      <c r="Q17" t="str">
        <f t="shared" si="5"/>
        <v>Salary &gt;= 85k</v>
      </c>
      <c r="R17" t="str" cm="1">
        <f t="array" ref="R17">_xlfn.IFS($H17="","No Data",$H17&gt;=Q$1,"Salary &gt;= $85k",$H17&lt;=Q$1,"Salary Low")</f>
        <v>Salary &gt;= $85k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Role 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Data",$H18&gt;=Q$1,"Salary &gt;= $85k",$H18&lt;=Q$1,"Salary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Role Not Desired</v>
      </c>
      <c r="L19" t="str">
        <f t="shared" si="0"/>
        <v>Role Not Desired</v>
      </c>
      <c r="M19" t="str">
        <f t="shared" si="1"/>
        <v>Role Not Desired</v>
      </c>
      <c r="N19" t="b">
        <f t="shared" si="2"/>
        <v>0</v>
      </c>
      <c r="O19" t="b">
        <f t="shared" si="3"/>
        <v>0</v>
      </c>
      <c r="P19" t="str">
        <f t="shared" si="4"/>
        <v>Role Not Desired</v>
      </c>
      <c r="Q19" t="str">
        <f t="shared" si="5"/>
        <v>Salary &gt;= 85k</v>
      </c>
      <c r="R19" t="str" cm="1">
        <f t="array" ref="R19">_xlfn.IFS($H19="","No Data",$H19&gt;=Q$1,"Salary &gt;= $85k",$H19&lt;=Q$1,"Salary Low")</f>
        <v>Salary &gt;= $85k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Role Not Desired</v>
      </c>
      <c r="L20" t="str">
        <f t="shared" si="0"/>
        <v>Role Not Desired</v>
      </c>
      <c r="M20" t="str">
        <f t="shared" si="1"/>
        <v>Role Not Desired</v>
      </c>
      <c r="N20" t="b">
        <f t="shared" si="2"/>
        <v>0</v>
      </c>
      <c r="O20" t="b">
        <f t="shared" si="3"/>
        <v>0</v>
      </c>
      <c r="P20" t="str">
        <f t="shared" si="4"/>
        <v>Role Not Desired</v>
      </c>
      <c r="Q20" t="str">
        <f t="shared" si="5"/>
        <v>Salary Low</v>
      </c>
      <c r="R20" t="str" cm="1">
        <f t="array" ref="R20">_xlfn.IFS($H20="","No Data",$H20&gt;=Q$1,"Salary &gt;= $85k",$H20&lt;=Q$1,"Salary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Role 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 &gt;= 85k</v>
      </c>
      <c r="R21" t="str" cm="1">
        <f t="array" ref="R21">_xlfn.IFS($H21="","No Data",$H21&gt;=Q$1,"Salary &gt;= $85k",$H21&lt;=Q$1,"Salary Low")</f>
        <v>Salary &gt;= $85k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ʐɛʀօ '</cp:lastModifiedBy>
  <dcterms:created xsi:type="dcterms:W3CDTF">2024-07-16T20:11:02Z</dcterms:created>
  <dcterms:modified xsi:type="dcterms:W3CDTF">2026-03-05T08:09:52Z</dcterms:modified>
</cp:coreProperties>
</file>